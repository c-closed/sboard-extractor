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99. 개인자료\00. 개발\sboard_team\"/>
    </mc:Choice>
  </mc:AlternateContent>
  <xr:revisionPtr revIDLastSave="0" documentId="13_ncr:1_{086B4C86-45E5-49D0-B793-1AD9A0CE87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갑지" sheetId="1" r:id="rId1"/>
    <sheet name="세부내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" l="1"/>
  <c r="Q14" i="1" s="1"/>
  <c r="F12" i="1"/>
  <c r="E12" i="1"/>
  <c r="D12" i="1"/>
  <c r="F8" i="1"/>
  <c r="E8" i="1"/>
  <c r="D8" i="1"/>
  <c r="F13" i="1"/>
  <c r="D13" i="1"/>
  <c r="F9" i="1"/>
  <c r="D9" i="1"/>
  <c r="F7" i="1"/>
  <c r="D7" i="1"/>
  <c r="R7" i="1" s="1"/>
  <c r="F6" i="1"/>
  <c r="D6" i="1"/>
  <c r="R6" i="1" s="1"/>
  <c r="R14" i="1" s="1"/>
  <c r="E6" i="1"/>
  <c r="C12" i="1"/>
  <c r="C8" i="1"/>
  <c r="C6" i="1"/>
  <c r="T15" i="1"/>
  <c r="S15" i="1"/>
  <c r="T14" i="1"/>
  <c r="S14" i="1"/>
  <c r="T11" i="1"/>
  <c r="S11" i="1"/>
  <c r="T10" i="1"/>
  <c r="S10" i="1"/>
  <c r="M15" i="1"/>
  <c r="L15" i="1"/>
  <c r="K15" i="1"/>
  <c r="M14" i="1"/>
  <c r="L14" i="1"/>
  <c r="K14" i="1"/>
  <c r="J14" i="1"/>
  <c r="M11" i="1"/>
  <c r="L11" i="1"/>
  <c r="K11" i="1"/>
  <c r="M10" i="1"/>
  <c r="L10" i="1"/>
  <c r="K10" i="1"/>
  <c r="J10" i="1"/>
  <c r="F11" i="1" l="1"/>
  <c r="R11" i="1"/>
  <c r="R15" i="1"/>
  <c r="E7" i="1"/>
  <c r="R10" i="1"/>
  <c r="Q10" i="1"/>
  <c r="F10" i="1"/>
  <c r="E10" i="1"/>
  <c r="E13" i="1"/>
  <c r="E9" i="1"/>
  <c r="F15" i="1"/>
  <c r="D15" i="1"/>
  <c r="D11" i="1"/>
  <c r="F14" i="1"/>
  <c r="E14" i="1"/>
  <c r="D14" i="1"/>
  <c r="C14" i="1"/>
  <c r="C10" i="1"/>
  <c r="D10" i="1"/>
  <c r="E15" i="1" l="1"/>
  <c r="E11" i="1"/>
</calcChain>
</file>

<file path=xl/sharedStrings.xml><?xml version="1.0" encoding="utf-8"?>
<sst xmlns="http://schemas.openxmlformats.org/spreadsheetml/2006/main" count="250" uniqueCount="133">
  <si>
    <t>(vat제외, 백만원)</t>
    <phoneticPr fontId="3" type="noConversion"/>
  </si>
  <si>
    <t>구분</t>
  </si>
  <si>
    <t>건수</t>
  </si>
  <si>
    <t>수주금액</t>
  </si>
  <si>
    <t>수금액</t>
  </si>
  <si>
    <t>잔액</t>
  </si>
  <si>
    <t>비고</t>
  </si>
  <si>
    <t>(외주계약금액)</t>
  </si>
  <si>
    <t>(외주지급금액)</t>
  </si>
  <si>
    <t>(외주비잔액)</t>
  </si>
  <si>
    <t>주 과업</t>
    <phoneticPr fontId="3" type="noConversion"/>
  </si>
  <si>
    <t>관리 과업</t>
    <phoneticPr fontId="3" type="noConversion"/>
  </si>
  <si>
    <t>소계</t>
    <phoneticPr fontId="3" type="noConversion"/>
  </si>
  <si>
    <t>지원 과업</t>
    <phoneticPr fontId="3" type="noConversion"/>
  </si>
  <si>
    <t>계</t>
    <phoneticPr fontId="3" type="noConversion"/>
  </si>
  <si>
    <t>사업번호</t>
  </si>
  <si>
    <t>부서인덱스</t>
  </si>
  <si>
    <t>사업명</t>
  </si>
  <si>
    <t>공급가액</t>
  </si>
  <si>
    <t>총수금액</t>
  </si>
  <si>
    <t>총외주액</t>
  </si>
  <si>
    <t>외주잔액</t>
  </si>
  <si>
    <t>26025A</t>
  </si>
  <si>
    <t>26022A</t>
  </si>
  <si>
    <t>26021A</t>
  </si>
  <si>
    <t>26015A</t>
  </si>
  <si>
    <t>26011A</t>
  </si>
  <si>
    <t>26010A</t>
  </si>
  <si>
    <t>26005A</t>
  </si>
  <si>
    <t>25058A</t>
  </si>
  <si>
    <t>25055A</t>
  </si>
  <si>
    <t>25056A</t>
  </si>
  <si>
    <t>25029A</t>
  </si>
  <si>
    <t>24084A</t>
  </si>
  <si>
    <t>24080A</t>
  </si>
  <si>
    <t>24066A</t>
  </si>
  <si>
    <t>24051A</t>
  </si>
  <si>
    <t>24040A</t>
  </si>
  <si>
    <t>24037A</t>
  </si>
  <si>
    <t>24035A</t>
  </si>
  <si>
    <t>24033A</t>
  </si>
  <si>
    <t>24027A</t>
  </si>
  <si>
    <t>24004A</t>
  </si>
  <si>
    <t>23087A</t>
  </si>
  <si>
    <t>23080A</t>
  </si>
  <si>
    <t>23075A</t>
  </si>
  <si>
    <t>23040A</t>
  </si>
  <si>
    <t>22038A</t>
  </si>
  <si>
    <t>23025A</t>
  </si>
  <si>
    <t>22111A</t>
  </si>
  <si>
    <t>22107A</t>
  </si>
  <si>
    <t>22075A</t>
  </si>
  <si>
    <t>22041A</t>
  </si>
  <si>
    <t>21060A</t>
  </si>
  <si>
    <t>21024A</t>
  </si>
  <si>
    <t>21020A</t>
  </si>
  <si>
    <t>21011A</t>
  </si>
  <si>
    <t>19105A</t>
  </si>
  <si>
    <t>25035C</t>
  </si>
  <si>
    <t>25033C</t>
  </si>
  <si>
    <t>25032C</t>
  </si>
  <si>
    <t>25015C</t>
  </si>
  <si>
    <t>25027C</t>
  </si>
  <si>
    <t>25030C</t>
  </si>
  <si>
    <t>25074A</t>
  </si>
  <si>
    <t>25049A</t>
  </si>
  <si>
    <t>23008C</t>
  </si>
  <si>
    <t>24077A</t>
  </si>
  <si>
    <t>20020A</t>
  </si>
  <si>
    <t>23002A</t>
  </si>
  <si>
    <t>24025C</t>
  </si>
  <si>
    <t>24029C</t>
  </si>
  <si>
    <t>24034C</t>
  </si>
  <si>
    <t>24036C</t>
  </si>
  <si>
    <t>24027C</t>
  </si>
  <si>
    <t>24031C</t>
  </si>
  <si>
    <t>25006C</t>
  </si>
  <si>
    <t>25004C</t>
  </si>
  <si>
    <t>24030C</t>
  </si>
  <si>
    <t>24028C</t>
  </si>
  <si>
    <t>24026C</t>
  </si>
  <si>
    <t>24032C</t>
  </si>
  <si>
    <t>24033C</t>
  </si>
  <si>
    <t>25031C</t>
  </si>
  <si>
    <t>23025C</t>
  </si>
  <si>
    <t>24035C</t>
  </si>
  <si>
    <t>25007C</t>
  </si>
  <si>
    <t>25008C</t>
  </si>
  <si>
    <t>25011C</t>
  </si>
  <si>
    <t>25009C</t>
  </si>
  <si>
    <t>25010C</t>
  </si>
  <si>
    <t>21042A</t>
  </si>
  <si>
    <t>23090A</t>
  </si>
  <si>
    <t>25021C</t>
  </si>
  <si>
    <t>25022C</t>
  </si>
  <si>
    <t>25023C</t>
  </si>
  <si>
    <t>25026C</t>
  </si>
  <si>
    <t>20035A</t>
  </si>
  <si>
    <t>23036A</t>
  </si>
  <si>
    <t>21072A</t>
  </si>
  <si>
    <t>19014A</t>
  </si>
  <si>
    <t>25034C</t>
  </si>
  <si>
    <t>25036C</t>
  </si>
  <si>
    <t>25038C</t>
  </si>
  <si>
    <t>23004A</t>
  </si>
  <si>
    <t>25037C</t>
  </si>
  <si>
    <t>25072A</t>
  </si>
  <si>
    <t>24016A</t>
  </si>
  <si>
    <t>12110A</t>
  </si>
  <si>
    <t>과업분류</t>
    <phoneticPr fontId="2" type="noConversion"/>
  </si>
  <si>
    <t>주</t>
    <phoneticPr fontId="2" type="noConversion"/>
  </si>
  <si>
    <t>관리</t>
    <phoneticPr fontId="2" type="noConversion"/>
  </si>
  <si>
    <t>지원</t>
    <phoneticPr fontId="2" type="noConversion"/>
  </si>
  <si>
    <t>1팀</t>
    <phoneticPr fontId="2" type="noConversion"/>
  </si>
  <si>
    <t>2팀</t>
    <phoneticPr fontId="2" type="noConversion"/>
  </si>
  <si>
    <t>환경사업부</t>
    <phoneticPr fontId="2" type="noConversion"/>
  </si>
  <si>
    <t>개야도항 정비공사 환경영향평가용역</t>
    <phoneticPr fontId="2" type="noConversion"/>
  </si>
  <si>
    <t>국가어항 신규지정(삽진항 등 4건) 전략환경영향평가용역</t>
  </si>
  <si>
    <t>평택당진항 진입도로(신평~내항) 건설공사 사후환경영향조사용역</t>
  </si>
  <si>
    <t>어란진항 정비사업 사후환경영향조사용역(공사시)</t>
  </si>
  <si>
    <t>마동지구 다목적농촌용수개발사업 사후환경영향조사 및 해양환경영향조사 용역</t>
  </si>
  <si>
    <t>격렬비열도항 개발사업 일반해양이용협의용역</t>
  </si>
  <si>
    <t>강릉 하시동지구 연안정비사업 해양환경영향조사용역</t>
  </si>
  <si>
    <t>울진권역 국가어항(구산항) 정비사업 사후환경영향조사용역(공사시)</t>
  </si>
  <si>
    <t>새만금 지역간 연결도로 해양이용영향조사 용역</t>
  </si>
  <si>
    <t>부산항 북항 1단계 재개발사업 사후환경영향조사용역(6차)</t>
  </si>
  <si>
    <t>거진1리 연안정비사업 해양환경영향조사용역</t>
  </si>
  <si>
    <t>서거차항 정비공사 사후환경영향조사용역(공사시 및 운영시)</t>
  </si>
  <si>
    <t>부산항 신항 송도 개발사업 환경영향평가용역</t>
  </si>
  <si>
    <t>부산항 신항 재해방지시설 설치공사 사후환경영향조사용역</t>
  </si>
  <si>
    <t>울릉(도동)항 방파제 연장공사 해양환경영향조사용역</t>
  </si>
  <si>
    <t>오천항 건설공사 사후환경영향조사용역(공사시)</t>
  </si>
  <si>
    <t>전국 국가어항 개발계획 수정계획 전략환경영향평가용역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</si>
</sst>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\(#,##0\)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4" fillId="2" borderId="2" xfId="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1" applyNumberFormat="1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41" fontId="4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15"/>
  <sheetViews>
    <sheetView workbookViewId="0">
      <selection activeCell="E20" sqref="E20"/>
    </sheetView>
  </sheetViews>
  <sheetFormatPr defaultRowHeight="16.5" x14ac:dyDescent="0.3"/>
  <cols>
    <col min="4" max="4" width="16.25" bestFit="1" customWidth="1"/>
  </cols>
  <sheetData>
    <row r="2" spans="2:21" x14ac:dyDescent="0.3">
      <c r="B2" s="13" t="s">
        <v>113</v>
      </c>
      <c r="C2" s="13"/>
      <c r="D2" s="13"/>
      <c r="E2" s="13"/>
      <c r="F2" s="13"/>
      <c r="G2" s="13"/>
      <c r="I2" s="13" t="s">
        <v>114</v>
      </c>
      <c r="J2" s="13"/>
      <c r="K2" s="13"/>
      <c r="L2" s="13"/>
      <c r="M2" s="13"/>
      <c r="N2" s="13"/>
      <c r="P2" s="13" t="s">
        <v>115</v>
      </c>
      <c r="Q2" s="13"/>
      <c r="R2" s="13"/>
      <c r="S2" s="13"/>
      <c r="T2" s="13"/>
      <c r="U2" s="13"/>
    </row>
    <row r="3" spans="2:21" x14ac:dyDescent="0.3">
      <c r="B3" s="1"/>
      <c r="C3" s="1"/>
      <c r="D3" s="2"/>
      <c r="E3" s="2"/>
      <c r="F3" s="2"/>
      <c r="G3" s="2" t="s">
        <v>0</v>
      </c>
      <c r="I3" s="1"/>
      <c r="J3" s="1"/>
      <c r="K3" s="2"/>
      <c r="L3" s="2"/>
      <c r="M3" s="2"/>
      <c r="N3" s="2" t="s">
        <v>0</v>
      </c>
      <c r="P3" s="1"/>
      <c r="Q3" s="1"/>
      <c r="R3" s="2"/>
      <c r="S3" s="2"/>
      <c r="T3" s="2"/>
      <c r="U3" s="2" t="s">
        <v>0</v>
      </c>
    </row>
    <row r="4" spans="2:21" x14ac:dyDescent="0.3">
      <c r="B4" s="17" t="s">
        <v>1</v>
      </c>
      <c r="C4" s="17" t="s">
        <v>2</v>
      </c>
      <c r="D4" s="3" t="s">
        <v>3</v>
      </c>
      <c r="E4" s="3" t="s">
        <v>4</v>
      </c>
      <c r="F4" s="3" t="s">
        <v>5</v>
      </c>
      <c r="G4" s="18" t="s">
        <v>6</v>
      </c>
      <c r="I4" s="17" t="s">
        <v>1</v>
      </c>
      <c r="J4" s="17" t="s">
        <v>2</v>
      </c>
      <c r="K4" s="3" t="s">
        <v>3</v>
      </c>
      <c r="L4" s="3" t="s">
        <v>4</v>
      </c>
      <c r="M4" s="3" t="s">
        <v>5</v>
      </c>
      <c r="N4" s="18" t="s">
        <v>6</v>
      </c>
      <c r="P4" s="17" t="s">
        <v>1</v>
      </c>
      <c r="Q4" s="17" t="s">
        <v>2</v>
      </c>
      <c r="R4" s="3" t="s">
        <v>3</v>
      </c>
      <c r="S4" s="3" t="s">
        <v>4</v>
      </c>
      <c r="T4" s="3" t="s">
        <v>5</v>
      </c>
      <c r="U4" s="18" t="s">
        <v>6</v>
      </c>
    </row>
    <row r="5" spans="2:21" ht="33" x14ac:dyDescent="0.3">
      <c r="B5" s="17"/>
      <c r="C5" s="17"/>
      <c r="D5" s="4" t="s">
        <v>7</v>
      </c>
      <c r="E5" s="4" t="s">
        <v>8</v>
      </c>
      <c r="F5" s="4" t="s">
        <v>9</v>
      </c>
      <c r="G5" s="18"/>
      <c r="I5" s="17"/>
      <c r="J5" s="17"/>
      <c r="K5" s="4" t="s">
        <v>7</v>
      </c>
      <c r="L5" s="4" t="s">
        <v>8</v>
      </c>
      <c r="M5" s="4" t="s">
        <v>9</v>
      </c>
      <c r="N5" s="18"/>
      <c r="P5" s="17"/>
      <c r="Q5" s="17"/>
      <c r="R5" s="4" t="s">
        <v>7</v>
      </c>
      <c r="S5" s="4" t="s">
        <v>8</v>
      </c>
      <c r="T5" s="4" t="s">
        <v>9</v>
      </c>
      <c r="U5" s="18"/>
    </row>
    <row r="6" spans="2:21" x14ac:dyDescent="0.3">
      <c r="B6" s="14" t="s">
        <v>10</v>
      </c>
      <c r="C6" s="15">
        <f>COUNTIF(세부내용!A:A,"주")</f>
        <v>36</v>
      </c>
      <c r="D6" s="5">
        <f>SUMIF(세부내용!$A:$A,"주",세부내용!E:E)/1000000</f>
        <v>10765.53853</v>
      </c>
      <c r="E6" s="5">
        <f>SUMIF(세부내용!$A:$A,"주",세부내용!F:F)/1000000</f>
        <v>3430.5679399999999</v>
      </c>
      <c r="F6" s="5">
        <f>SUMIF(세부내용!$A:$A,"주",세부내용!G:G)/1000000</f>
        <v>7334.9705899999999</v>
      </c>
      <c r="G6" s="6"/>
      <c r="I6" s="14" t="s">
        <v>10</v>
      </c>
      <c r="J6" s="15">
        <v>36</v>
      </c>
      <c r="K6" s="5">
        <v>28401.387764000003</v>
      </c>
      <c r="L6" s="5">
        <v>14130.736206</v>
      </c>
      <c r="M6" s="5">
        <v>14270.651558</v>
      </c>
      <c r="N6" s="6"/>
      <c r="P6" s="14" t="s">
        <v>10</v>
      </c>
      <c r="Q6" s="15">
        <f>C6+J6</f>
        <v>72</v>
      </c>
      <c r="R6" s="5">
        <f>D6+K6</f>
        <v>39166.926294000004</v>
      </c>
      <c r="S6" s="5">
        <v>14130.736206</v>
      </c>
      <c r="T6" s="5">
        <v>14270.651558</v>
      </c>
      <c r="U6" s="6"/>
    </row>
    <row r="7" spans="2:21" x14ac:dyDescent="0.3">
      <c r="B7" s="14"/>
      <c r="C7" s="16"/>
      <c r="D7" s="7">
        <f>SUMIF(세부내용!$A:$A,"주",세부내용!H:H)/1000000</f>
        <v>2674.9938000000002</v>
      </c>
      <c r="E7" s="7">
        <f>D7-F7</f>
        <v>120.69680000000017</v>
      </c>
      <c r="F7" s="7">
        <f>SUMIF(세부내용!$A:$A,"주",세부내용!I:I)/1000000</f>
        <v>2554.297</v>
      </c>
      <c r="G7" s="8"/>
      <c r="I7" s="14"/>
      <c r="J7" s="16"/>
      <c r="K7" s="7">
        <v>11020.265112999999</v>
      </c>
      <c r="L7" s="7">
        <v>2758.0226650000004</v>
      </c>
      <c r="M7" s="7">
        <v>8262.2424479999991</v>
      </c>
      <c r="N7" s="8"/>
      <c r="P7" s="14"/>
      <c r="Q7" s="16"/>
      <c r="R7" s="7">
        <f>D7+K7</f>
        <v>13695.258913</v>
      </c>
      <c r="S7" s="7">
        <v>2758.0226650000004</v>
      </c>
      <c r="T7" s="7">
        <v>8262.2424479999991</v>
      </c>
      <c r="U7" s="8"/>
    </row>
    <row r="8" spans="2:21" x14ac:dyDescent="0.3">
      <c r="B8" s="14" t="s">
        <v>11</v>
      </c>
      <c r="C8" s="15">
        <f>COUNTIF(세부내용!A:A,"관리")</f>
        <v>50</v>
      </c>
      <c r="D8" s="5">
        <f>SUMIF(세부내용!$A:$A,"관리",세부내용!E:E)/1000000</f>
        <v>0</v>
      </c>
      <c r="E8" s="5">
        <f>SUMIF(세부내용!$A:$A,"관리",세부내용!F:F)/1000000</f>
        <v>0</v>
      </c>
      <c r="F8" s="5">
        <f>SUMIF(세부내용!$A:$A,"관리",세부내용!G:G)/1000000</f>
        <v>0</v>
      </c>
      <c r="G8" s="10"/>
      <c r="I8" s="14" t="s">
        <v>11</v>
      </c>
      <c r="J8" s="15">
        <v>50</v>
      </c>
      <c r="K8" s="9">
        <v>5978.2782670000006</v>
      </c>
      <c r="L8" s="9">
        <v>3915.6888180000001</v>
      </c>
      <c r="M8" s="9">
        <v>2062.5894490000005</v>
      </c>
      <c r="N8" s="10"/>
      <c r="P8" s="14" t="s">
        <v>11</v>
      </c>
      <c r="Q8" s="15">
        <v>50</v>
      </c>
      <c r="R8" s="9">
        <v>5978.2782670000006</v>
      </c>
      <c r="S8" s="9">
        <v>3915.6888180000001</v>
      </c>
      <c r="T8" s="9">
        <v>2062.5894490000005</v>
      </c>
      <c r="U8" s="10"/>
    </row>
    <row r="9" spans="2:21" x14ac:dyDescent="0.3">
      <c r="B9" s="14"/>
      <c r="C9" s="16"/>
      <c r="D9" s="7">
        <f>SUMIF(세부내용!$A:$A,"관리",세부내용!H:H)/1000000</f>
        <v>0</v>
      </c>
      <c r="E9" s="7">
        <f>D9-F9</f>
        <v>0</v>
      </c>
      <c r="F9" s="7">
        <f>SUMIF(세부내용!$A:$A,"관리",세부내용!I:I)/1000000</f>
        <v>0</v>
      </c>
      <c r="G9" s="8"/>
      <c r="I9" s="14"/>
      <c r="J9" s="16"/>
      <c r="K9" s="7">
        <v>1530.0775450000001</v>
      </c>
      <c r="L9" s="7">
        <v>982.64555800000005</v>
      </c>
      <c r="M9" s="7">
        <v>547.43198699999994</v>
      </c>
      <c r="N9" s="8"/>
      <c r="P9" s="14"/>
      <c r="Q9" s="16"/>
      <c r="R9" s="7">
        <v>1530.0775450000001</v>
      </c>
      <c r="S9" s="7">
        <v>982.64555800000005</v>
      </c>
      <c r="T9" s="7">
        <v>547.43198699999994</v>
      </c>
      <c r="U9" s="8"/>
    </row>
    <row r="10" spans="2:21" x14ac:dyDescent="0.3">
      <c r="B10" s="14" t="s">
        <v>12</v>
      </c>
      <c r="C10" s="15">
        <f>C6+C8</f>
        <v>86</v>
      </c>
      <c r="D10" s="9">
        <f>D6+D8</f>
        <v>10765.53853</v>
      </c>
      <c r="E10" s="9">
        <f>E6+E8</f>
        <v>3430.5679399999999</v>
      </c>
      <c r="F10" s="9">
        <f>F6+F8</f>
        <v>7334.9705899999999</v>
      </c>
      <c r="G10" s="10"/>
      <c r="I10" s="14" t="s">
        <v>12</v>
      </c>
      <c r="J10" s="15">
        <f>J6+J8</f>
        <v>86</v>
      </c>
      <c r="K10" s="9">
        <f>K6+K8</f>
        <v>34379.666031000001</v>
      </c>
      <c r="L10" s="9">
        <f>L6+L8</f>
        <v>18046.425024</v>
      </c>
      <c r="M10" s="9">
        <f>M6+M8</f>
        <v>16333.241007000001</v>
      </c>
      <c r="N10" s="10"/>
      <c r="P10" s="14" t="s">
        <v>12</v>
      </c>
      <c r="Q10" s="15">
        <f>Q6+Q8</f>
        <v>122</v>
      </c>
      <c r="R10" s="9">
        <f>R6+R8</f>
        <v>45145.204561000006</v>
      </c>
      <c r="S10" s="9">
        <f>S6+S8</f>
        <v>18046.425024</v>
      </c>
      <c r="T10" s="9">
        <f>T6+T8</f>
        <v>16333.241007000001</v>
      </c>
      <c r="U10" s="10"/>
    </row>
    <row r="11" spans="2:21" x14ac:dyDescent="0.3">
      <c r="B11" s="14"/>
      <c r="C11" s="16"/>
      <c r="D11" s="7">
        <f>D7+D9</f>
        <v>2674.9938000000002</v>
      </c>
      <c r="E11" s="7">
        <f>E7+E9</f>
        <v>120.69680000000017</v>
      </c>
      <c r="F11" s="7">
        <f>F7+F9</f>
        <v>2554.297</v>
      </c>
      <c r="G11" s="8"/>
      <c r="I11" s="14"/>
      <c r="J11" s="16"/>
      <c r="K11" s="7">
        <f>K7+K9</f>
        <v>12550.342658</v>
      </c>
      <c r="L11" s="7">
        <f>L7+L9</f>
        <v>3740.6682230000006</v>
      </c>
      <c r="M11" s="7">
        <f>M7+M9</f>
        <v>8809.674434999999</v>
      </c>
      <c r="N11" s="8"/>
      <c r="P11" s="14"/>
      <c r="Q11" s="16"/>
      <c r="R11" s="7">
        <f>R7+R9</f>
        <v>15225.336458</v>
      </c>
      <c r="S11" s="7">
        <f>S7+S9</f>
        <v>3740.6682230000006</v>
      </c>
      <c r="T11" s="7">
        <f>T7+T9</f>
        <v>8809.674434999999</v>
      </c>
      <c r="U11" s="8"/>
    </row>
    <row r="12" spans="2:21" x14ac:dyDescent="0.3">
      <c r="B12" s="19" t="s">
        <v>13</v>
      </c>
      <c r="C12" s="15">
        <f>COUNTIF(세부내용!A:A,"지원")</f>
        <v>2</v>
      </c>
      <c r="D12" s="5">
        <f>SUMIF(세부내용!$A:$A,"지원",세부내용!E:E)/1000000</f>
        <v>0</v>
      </c>
      <c r="E12" s="5">
        <f>SUMIF(세부내용!$A:$A,"지원",세부내용!F:F)/1000000</f>
        <v>0</v>
      </c>
      <c r="F12" s="5">
        <f>SUMIF(세부내용!$A:$A,"지원",세부내용!G:G)/1000000</f>
        <v>0</v>
      </c>
      <c r="G12" s="10"/>
      <c r="I12" s="19" t="s">
        <v>13</v>
      </c>
      <c r="J12" s="15">
        <v>2</v>
      </c>
      <c r="K12" s="9">
        <v>516</v>
      </c>
      <c r="L12" s="9">
        <v>250.70487499999999</v>
      </c>
      <c r="M12" s="9">
        <v>265.29512499999998</v>
      </c>
      <c r="N12" s="10"/>
      <c r="P12" s="19" t="s">
        <v>13</v>
      </c>
      <c r="Q12" s="15">
        <v>2</v>
      </c>
      <c r="R12" s="9">
        <v>516</v>
      </c>
      <c r="S12" s="9">
        <v>250.70487499999999</v>
      </c>
      <c r="T12" s="9">
        <v>265.29512499999998</v>
      </c>
      <c r="U12" s="10"/>
    </row>
    <row r="13" spans="2:21" x14ac:dyDescent="0.3">
      <c r="B13" s="19"/>
      <c r="C13" s="16"/>
      <c r="D13" s="7">
        <f>SUMIF(세부내용!$A:$A,"지원",세부내용!H:H)/1000000</f>
        <v>0</v>
      </c>
      <c r="E13" s="7">
        <f>D13-F13</f>
        <v>0</v>
      </c>
      <c r="F13" s="7">
        <f>SUMIF(세부내용!$A:$A,"지원",세부내용!I:I)/1000000</f>
        <v>0</v>
      </c>
      <c r="G13" s="8"/>
      <c r="I13" s="19"/>
      <c r="J13" s="16"/>
      <c r="K13" s="7">
        <v>97.9</v>
      </c>
      <c r="L13" s="7">
        <v>54.1</v>
      </c>
      <c r="M13" s="7">
        <v>43.8</v>
      </c>
      <c r="N13" s="8"/>
      <c r="P13" s="19"/>
      <c r="Q13" s="16"/>
      <c r="R13" s="7">
        <v>97.9</v>
      </c>
      <c r="S13" s="7">
        <v>54.1</v>
      </c>
      <c r="T13" s="7">
        <v>43.8</v>
      </c>
      <c r="U13" s="8"/>
    </row>
    <row r="14" spans="2:21" x14ac:dyDescent="0.3">
      <c r="B14" s="19" t="s">
        <v>14</v>
      </c>
      <c r="C14" s="15">
        <f>C6+C8+C12</f>
        <v>88</v>
      </c>
      <c r="D14" s="9">
        <f>D6+D8+D12</f>
        <v>10765.53853</v>
      </c>
      <c r="E14" s="9">
        <f>E6+E8+E12</f>
        <v>3430.5679399999999</v>
      </c>
      <c r="F14" s="9">
        <f>F6+F8+F12</f>
        <v>7334.9705899999999</v>
      </c>
      <c r="G14" s="10"/>
      <c r="I14" s="19" t="s">
        <v>14</v>
      </c>
      <c r="J14" s="15">
        <f>J6+J8+J12</f>
        <v>88</v>
      </c>
      <c r="K14" s="9">
        <f>K6+K8+K12</f>
        <v>34895.666031000001</v>
      </c>
      <c r="L14" s="9">
        <f>L6+L8+L12</f>
        <v>18297.129899</v>
      </c>
      <c r="M14" s="9">
        <f>M6+M8+M12</f>
        <v>16598.536132000001</v>
      </c>
      <c r="N14" s="10"/>
      <c r="P14" s="19" t="s">
        <v>14</v>
      </c>
      <c r="Q14" s="15">
        <f>Q6+Q8+Q12</f>
        <v>124</v>
      </c>
      <c r="R14" s="9">
        <f>R6+R8+R12</f>
        <v>45661.204561000006</v>
      </c>
      <c r="S14" s="9">
        <f>S6+S8+S12</f>
        <v>18297.129899</v>
      </c>
      <c r="T14" s="9">
        <f>T6+T8+T12</f>
        <v>16598.536132000001</v>
      </c>
      <c r="U14" s="10"/>
    </row>
    <row r="15" spans="2:21" x14ac:dyDescent="0.3">
      <c r="B15" s="20"/>
      <c r="C15" s="16"/>
      <c r="D15" s="7">
        <f>D7+D9+D13</f>
        <v>2674.9938000000002</v>
      </c>
      <c r="E15" s="7">
        <f>E7+E9+E13</f>
        <v>120.69680000000017</v>
      </c>
      <c r="F15" s="7">
        <f>F7+F9+F13</f>
        <v>2554.297</v>
      </c>
      <c r="G15" s="8"/>
      <c r="I15" s="20"/>
      <c r="J15" s="16"/>
      <c r="K15" s="7">
        <f>K7+K9+K13</f>
        <v>12648.242657999999</v>
      </c>
      <c r="L15" s="7">
        <f>L7+L9+L13</f>
        <v>3794.7682230000005</v>
      </c>
      <c r="M15" s="7">
        <f>M7+M9+M13</f>
        <v>8853.4744349999983</v>
      </c>
      <c r="N15" s="8"/>
      <c r="P15" s="20"/>
      <c r="Q15" s="16"/>
      <c r="R15" s="7">
        <f>R7+R9+R13</f>
        <v>15323.236457999999</v>
      </c>
      <c r="S15" s="7">
        <f>S7+S9+S13</f>
        <v>3794.7682230000005</v>
      </c>
      <c r="T15" s="7">
        <f>T7+T9+T13</f>
        <v>8853.4744349999983</v>
      </c>
      <c r="U15" s="8"/>
    </row>
  </sheetData>
  <mergeCells count="42">
    <mergeCell ref="P10:P11"/>
    <mergeCell ref="P12:P13"/>
    <mergeCell ref="P14:P15"/>
    <mergeCell ref="Q14:Q15"/>
    <mergeCell ref="P4:P5"/>
    <mergeCell ref="Q4:Q5"/>
    <mergeCell ref="Q10:Q11"/>
    <mergeCell ref="Q12:Q13"/>
    <mergeCell ref="P6:P7"/>
    <mergeCell ref="Q6:Q7"/>
    <mergeCell ref="P8:P9"/>
    <mergeCell ref="Q8:Q9"/>
    <mergeCell ref="I14:I15"/>
    <mergeCell ref="J14:J15"/>
    <mergeCell ref="I4:I5"/>
    <mergeCell ref="J4:J5"/>
    <mergeCell ref="N4:N5"/>
    <mergeCell ref="I6:I7"/>
    <mergeCell ref="J6:J7"/>
    <mergeCell ref="I8:I9"/>
    <mergeCell ref="J8:J9"/>
    <mergeCell ref="I10:I11"/>
    <mergeCell ref="J10:J11"/>
    <mergeCell ref="I12:I13"/>
    <mergeCell ref="J12:J13"/>
    <mergeCell ref="B10:B11"/>
    <mergeCell ref="C10:C11"/>
    <mergeCell ref="B12:B13"/>
    <mergeCell ref="C12:C13"/>
    <mergeCell ref="B14:B15"/>
    <mergeCell ref="C14:C15"/>
    <mergeCell ref="B2:G2"/>
    <mergeCell ref="I2:N2"/>
    <mergeCell ref="P2:U2"/>
    <mergeCell ref="B8:B9"/>
    <mergeCell ref="C8:C9"/>
    <mergeCell ref="B4:B5"/>
    <mergeCell ref="C4:C5"/>
    <mergeCell ref="G4:G5"/>
    <mergeCell ref="B6:B7"/>
    <mergeCell ref="C6:C7"/>
    <mergeCell ref="U4:U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9590-3006-459B-BBB3-5C8482ED5BC6}">
  <dimension ref="A1:I89"/>
  <sheetViews>
    <sheetView tabSelected="1" workbookViewId="0">
      <selection activeCell="D25" sqref="D25"/>
    </sheetView>
  </sheetViews>
  <sheetFormatPr defaultRowHeight="16.5" x14ac:dyDescent="0.3"/>
  <cols>
    <col min="1" max="3" width="9" style="11"/>
    <col min="4" max="4" width="116.75" style="11" bestFit="1" customWidth="1"/>
    <col min="5" max="5" width="12.875" style="11" bestFit="1" customWidth="1"/>
    <col min="6" max="6" width="11.375" style="11" bestFit="1" customWidth="1"/>
    <col min="7" max="16384" width="9" style="11"/>
  </cols>
  <sheetData>
    <row r="1" spans="1:9" x14ac:dyDescent="0.3">
      <c r="A1" s="11" t="s">
        <v>109</v>
      </c>
      <c r="B1" s="11" t="s">
        <v>15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5</v>
      </c>
      <c r="H1" s="11" t="s">
        <v>20</v>
      </c>
      <c r="I1" s="11" t="s">
        <v>21</v>
      </c>
    </row>
    <row r="2" spans="1:9" x14ac:dyDescent="0.3">
      <c r="A2" s="11" t="s">
        <v>110</v>
      </c>
      <c r="B2" s="11" t="s">
        <v>22</v>
      </c>
      <c r="C2" s="11">
        <v>6</v>
      </c>
      <c r="D2" s="11" t="s">
        <v>116</v>
      </c>
      <c r="E2" s="12">
        <v>432293000</v>
      </c>
      <c r="F2" s="12">
        <v>175000000</v>
      </c>
      <c r="G2" s="12">
        <v>257293000</v>
      </c>
      <c r="H2" s="11">
        <v>0</v>
      </c>
      <c r="I2" s="11">
        <v>0</v>
      </c>
    </row>
    <row r="3" spans="1:9" x14ac:dyDescent="0.3">
      <c r="A3" s="11" t="s">
        <v>110</v>
      </c>
      <c r="B3" s="11" t="s">
        <v>23</v>
      </c>
      <c r="C3" s="11">
        <v>6</v>
      </c>
      <c r="D3" s="11" t="s">
        <v>117</v>
      </c>
      <c r="E3" s="12">
        <v>419400000</v>
      </c>
      <c r="F3" s="12">
        <v>224000000</v>
      </c>
      <c r="G3" s="12">
        <v>195400000</v>
      </c>
      <c r="H3" s="11">
        <v>0</v>
      </c>
      <c r="I3" s="11">
        <v>0</v>
      </c>
    </row>
    <row r="4" spans="1:9" x14ac:dyDescent="0.3">
      <c r="A4" s="11" t="s">
        <v>110</v>
      </c>
      <c r="B4" s="11" t="s">
        <v>24</v>
      </c>
      <c r="C4" s="11">
        <v>6</v>
      </c>
      <c r="D4" s="11" t="s">
        <v>132</v>
      </c>
      <c r="E4" s="12">
        <v>801477450</v>
      </c>
      <c r="F4" s="12">
        <v>315000000</v>
      </c>
      <c r="G4" s="12">
        <v>486477450</v>
      </c>
      <c r="H4" s="11">
        <v>0</v>
      </c>
      <c r="I4" s="11">
        <v>0</v>
      </c>
    </row>
    <row r="5" spans="1:9" x14ac:dyDescent="0.3">
      <c r="A5" s="11" t="s">
        <v>110</v>
      </c>
      <c r="B5" s="11" t="s">
        <v>25</v>
      </c>
      <c r="C5" s="11">
        <v>6</v>
      </c>
      <c r="D5" s="11" t="s">
        <v>118</v>
      </c>
      <c r="E5" s="12">
        <v>1676858750</v>
      </c>
      <c r="F5" s="12">
        <v>130900000</v>
      </c>
      <c r="G5" s="12">
        <v>1545958750</v>
      </c>
      <c r="H5" s="11">
        <v>0</v>
      </c>
      <c r="I5" s="11">
        <v>0</v>
      </c>
    </row>
    <row r="6" spans="1:9" x14ac:dyDescent="0.3">
      <c r="A6" s="11" t="s">
        <v>110</v>
      </c>
      <c r="B6" s="11" t="s">
        <v>26</v>
      </c>
      <c r="C6" s="11">
        <v>6</v>
      </c>
      <c r="D6" s="11" t="s">
        <v>119</v>
      </c>
      <c r="E6" s="12">
        <v>768739200</v>
      </c>
      <c r="F6" s="12">
        <v>10000000</v>
      </c>
      <c r="G6" s="12">
        <v>758739200</v>
      </c>
      <c r="H6" s="11">
        <v>0</v>
      </c>
      <c r="I6" s="11">
        <v>0</v>
      </c>
    </row>
    <row r="7" spans="1:9" x14ac:dyDescent="0.3">
      <c r="A7" s="11" t="s">
        <v>110</v>
      </c>
      <c r="B7" s="11" t="s">
        <v>27</v>
      </c>
      <c r="C7" s="11">
        <v>6</v>
      </c>
      <c r="D7" s="11" t="s">
        <v>120</v>
      </c>
      <c r="E7" s="12">
        <v>285119250</v>
      </c>
      <c r="F7" s="12">
        <v>71279000</v>
      </c>
      <c r="G7" s="12">
        <v>213840250</v>
      </c>
      <c r="H7" s="12">
        <v>175032000</v>
      </c>
      <c r="I7" s="12">
        <v>175032000</v>
      </c>
    </row>
    <row r="8" spans="1:9" x14ac:dyDescent="0.3">
      <c r="A8" s="11" t="s">
        <v>110</v>
      </c>
      <c r="B8" s="11" t="s">
        <v>28</v>
      </c>
      <c r="C8" s="11">
        <v>6</v>
      </c>
      <c r="D8" s="11" t="s">
        <v>121</v>
      </c>
      <c r="E8" s="12">
        <v>178080000</v>
      </c>
      <c r="F8" s="12">
        <v>16800000</v>
      </c>
      <c r="G8" s="12">
        <v>161280000</v>
      </c>
      <c r="H8" s="11">
        <v>0</v>
      </c>
      <c r="I8" s="11">
        <v>0</v>
      </c>
    </row>
    <row r="9" spans="1:9" x14ac:dyDescent="0.3">
      <c r="A9" s="11" t="s">
        <v>110</v>
      </c>
      <c r="B9" s="11" t="s">
        <v>29</v>
      </c>
      <c r="C9" s="11">
        <v>6</v>
      </c>
      <c r="D9" s="11" t="s">
        <v>122</v>
      </c>
      <c r="E9" s="12">
        <v>477927200</v>
      </c>
      <c r="F9" s="12">
        <v>99093040</v>
      </c>
      <c r="G9" s="12">
        <v>378834160</v>
      </c>
      <c r="H9" s="12">
        <v>201300000</v>
      </c>
      <c r="I9" s="12">
        <v>201300000</v>
      </c>
    </row>
    <row r="10" spans="1:9" x14ac:dyDescent="0.3">
      <c r="A10" s="11" t="s">
        <v>110</v>
      </c>
      <c r="B10" s="11" t="s">
        <v>30</v>
      </c>
      <c r="C10" s="11">
        <v>6</v>
      </c>
      <c r="D10" s="11" t="s">
        <v>123</v>
      </c>
      <c r="E10" s="12">
        <v>1007836200</v>
      </c>
      <c r="F10" s="12">
        <v>205120200</v>
      </c>
      <c r="G10" s="12">
        <v>802716000</v>
      </c>
      <c r="H10" s="12">
        <v>379500000</v>
      </c>
      <c r="I10" s="12">
        <v>379500000</v>
      </c>
    </row>
    <row r="11" spans="1:9" x14ac:dyDescent="0.3">
      <c r="A11" s="11" t="s">
        <v>110</v>
      </c>
      <c r="B11" s="11" t="s">
        <v>31</v>
      </c>
      <c r="C11" s="11">
        <v>6</v>
      </c>
      <c r="D11" s="11" t="s">
        <v>124</v>
      </c>
      <c r="E11" s="12">
        <v>362322480</v>
      </c>
      <c r="F11" s="12">
        <v>42549000</v>
      </c>
      <c r="G11" s="12">
        <v>319773480</v>
      </c>
      <c r="H11" s="12">
        <v>144232000</v>
      </c>
      <c r="I11" s="12">
        <v>144232000</v>
      </c>
    </row>
    <row r="12" spans="1:9" x14ac:dyDescent="0.3">
      <c r="A12" s="11" t="s">
        <v>110</v>
      </c>
      <c r="B12" s="11" t="s">
        <v>32</v>
      </c>
      <c r="C12" s="11">
        <v>6</v>
      </c>
      <c r="D12" s="11" t="s">
        <v>125</v>
      </c>
      <c r="E12" s="12">
        <v>666531450</v>
      </c>
      <c r="F12" s="12">
        <v>286000000</v>
      </c>
      <c r="G12" s="12">
        <v>380531450</v>
      </c>
      <c r="H12" s="12">
        <v>402600000</v>
      </c>
      <c r="I12" s="12">
        <v>402600000</v>
      </c>
    </row>
    <row r="13" spans="1:9" x14ac:dyDescent="0.3">
      <c r="A13" s="11" t="s">
        <v>110</v>
      </c>
      <c r="B13" s="11" t="s">
        <v>33</v>
      </c>
      <c r="C13" s="11">
        <v>6</v>
      </c>
      <c r="D13" s="11" t="s">
        <v>126</v>
      </c>
      <c r="E13" s="12">
        <v>324585450</v>
      </c>
      <c r="F13" s="12">
        <v>162000000</v>
      </c>
      <c r="G13" s="12">
        <v>162585450</v>
      </c>
      <c r="H13" s="12">
        <v>73260000</v>
      </c>
      <c r="I13" s="12">
        <v>73260000</v>
      </c>
    </row>
    <row r="14" spans="1:9" x14ac:dyDescent="0.3">
      <c r="A14" s="11" t="s">
        <v>110</v>
      </c>
      <c r="B14" s="11" t="s">
        <v>34</v>
      </c>
      <c r="C14" s="11">
        <v>6</v>
      </c>
      <c r="D14" s="11" t="s">
        <v>127</v>
      </c>
      <c r="E14" s="12">
        <v>727010400</v>
      </c>
      <c r="F14" s="12">
        <v>263080000</v>
      </c>
      <c r="G14" s="12">
        <v>463930400</v>
      </c>
      <c r="H14" s="12">
        <v>309820000</v>
      </c>
      <c r="I14" s="12">
        <v>305420000</v>
      </c>
    </row>
    <row r="15" spans="1:9" x14ac:dyDescent="0.3">
      <c r="A15" s="11" t="s">
        <v>110</v>
      </c>
      <c r="B15" s="11" t="s">
        <v>35</v>
      </c>
      <c r="C15" s="11">
        <v>6</v>
      </c>
      <c r="D15" s="11" t="s">
        <v>128</v>
      </c>
      <c r="E15" s="12">
        <v>671500000</v>
      </c>
      <c r="F15" s="12">
        <v>670650000</v>
      </c>
      <c r="G15" s="12">
        <v>850000</v>
      </c>
      <c r="H15" s="12">
        <v>235419800</v>
      </c>
      <c r="I15" s="12">
        <v>176891000</v>
      </c>
    </row>
    <row r="16" spans="1:9" x14ac:dyDescent="0.3">
      <c r="A16" s="11" t="s">
        <v>110</v>
      </c>
      <c r="B16" s="11" t="s">
        <v>36</v>
      </c>
      <c r="C16" s="11">
        <v>6</v>
      </c>
      <c r="D16" s="11" t="s">
        <v>129</v>
      </c>
      <c r="E16" s="12">
        <v>579450000</v>
      </c>
      <c r="F16" s="12">
        <v>111600000</v>
      </c>
      <c r="G16" s="12">
        <v>467850000</v>
      </c>
      <c r="H16" s="12">
        <v>158400000</v>
      </c>
      <c r="I16" s="12">
        <v>150400000</v>
      </c>
    </row>
    <row r="17" spans="1:9" x14ac:dyDescent="0.3">
      <c r="A17" s="11" t="s">
        <v>110</v>
      </c>
      <c r="B17" s="11" t="s">
        <v>37</v>
      </c>
      <c r="C17" s="11">
        <v>6</v>
      </c>
      <c r="D17" s="11" t="s">
        <v>130</v>
      </c>
      <c r="E17" s="12">
        <v>449179200</v>
      </c>
      <c r="F17" s="12">
        <v>240000000</v>
      </c>
      <c r="G17" s="12">
        <v>209179200</v>
      </c>
      <c r="H17" s="12">
        <v>159280000</v>
      </c>
      <c r="I17" s="12">
        <v>147212000</v>
      </c>
    </row>
    <row r="18" spans="1:9" x14ac:dyDescent="0.3">
      <c r="A18" s="11" t="s">
        <v>110</v>
      </c>
      <c r="B18" s="11" t="s">
        <v>38</v>
      </c>
      <c r="C18" s="11">
        <v>6</v>
      </c>
      <c r="D18" s="11" t="s">
        <v>131</v>
      </c>
      <c r="E18" s="12">
        <v>937228500</v>
      </c>
      <c r="F18" s="12">
        <v>407496700</v>
      </c>
      <c r="G18" s="12">
        <v>529731800</v>
      </c>
      <c r="H18" s="12">
        <v>436150000</v>
      </c>
      <c r="I18" s="12">
        <v>398450000</v>
      </c>
    </row>
    <row r="19" spans="1:9" x14ac:dyDescent="0.3">
      <c r="A19" s="11" t="s">
        <v>110</v>
      </c>
      <c r="B19" s="11" t="s">
        <v>39</v>
      </c>
      <c r="C19" s="11">
        <v>6</v>
      </c>
      <c r="E19" s="12"/>
      <c r="F19" s="12"/>
      <c r="G19" s="12"/>
      <c r="H19" s="12"/>
      <c r="I19" s="12"/>
    </row>
    <row r="20" spans="1:9" x14ac:dyDescent="0.3">
      <c r="A20" s="11" t="s">
        <v>110</v>
      </c>
      <c r="B20" s="11" t="s">
        <v>40</v>
      </c>
      <c r="C20" s="11">
        <v>6</v>
      </c>
      <c r="E20" s="12"/>
      <c r="F20" s="12"/>
      <c r="H20" s="12"/>
      <c r="I20" s="12"/>
    </row>
    <row r="21" spans="1:9" x14ac:dyDescent="0.3">
      <c r="A21" s="11" t="s">
        <v>110</v>
      </c>
      <c r="B21" s="11" t="s">
        <v>41</v>
      </c>
      <c r="C21" s="11">
        <v>6</v>
      </c>
      <c r="E21" s="12"/>
      <c r="F21" s="12"/>
      <c r="G21" s="12"/>
      <c r="H21" s="12"/>
      <c r="I21" s="12"/>
    </row>
    <row r="22" spans="1:9" x14ac:dyDescent="0.3">
      <c r="A22" s="11" t="s">
        <v>110</v>
      </c>
      <c r="B22" s="11" t="s">
        <v>42</v>
      </c>
      <c r="C22" s="11">
        <v>6</v>
      </c>
      <c r="E22" s="12"/>
      <c r="F22" s="12"/>
      <c r="G22" s="12"/>
      <c r="H22" s="12"/>
      <c r="I22" s="12"/>
    </row>
    <row r="23" spans="1:9" x14ac:dyDescent="0.3">
      <c r="A23" s="11" t="s">
        <v>110</v>
      </c>
      <c r="B23" s="11" t="s">
        <v>43</v>
      </c>
      <c r="C23" s="11">
        <v>6</v>
      </c>
      <c r="E23" s="12"/>
      <c r="F23" s="12"/>
      <c r="G23" s="12"/>
      <c r="H23" s="12"/>
      <c r="I23" s="12"/>
    </row>
    <row r="24" spans="1:9" x14ac:dyDescent="0.3">
      <c r="A24" s="11" t="s">
        <v>110</v>
      </c>
      <c r="B24" s="11" t="s">
        <v>44</v>
      </c>
      <c r="C24" s="11">
        <v>6</v>
      </c>
      <c r="E24" s="12"/>
      <c r="G24" s="12"/>
    </row>
    <row r="25" spans="1:9" x14ac:dyDescent="0.3">
      <c r="A25" s="11" t="s">
        <v>110</v>
      </c>
      <c r="B25" s="11" t="s">
        <v>45</v>
      </c>
      <c r="C25" s="11">
        <v>6</v>
      </c>
      <c r="E25" s="12"/>
      <c r="F25" s="12"/>
      <c r="G25" s="12"/>
      <c r="H25" s="12"/>
      <c r="I25" s="12"/>
    </row>
    <row r="26" spans="1:9" x14ac:dyDescent="0.3">
      <c r="A26" s="11" t="s">
        <v>110</v>
      </c>
      <c r="B26" s="11" t="s">
        <v>46</v>
      </c>
      <c r="C26" s="11">
        <v>6</v>
      </c>
      <c r="E26" s="12"/>
      <c r="F26" s="12"/>
      <c r="G26" s="12"/>
      <c r="H26" s="12"/>
      <c r="I26" s="12"/>
    </row>
    <row r="27" spans="1:9" x14ac:dyDescent="0.3">
      <c r="A27" s="11" t="s">
        <v>110</v>
      </c>
      <c r="B27" s="11" t="s">
        <v>47</v>
      </c>
      <c r="C27" s="11">
        <v>6</v>
      </c>
      <c r="E27" s="12"/>
      <c r="F27" s="12"/>
      <c r="G27" s="12"/>
      <c r="H27" s="12"/>
      <c r="I27" s="12"/>
    </row>
    <row r="28" spans="1:9" x14ac:dyDescent="0.3">
      <c r="A28" s="11" t="s">
        <v>110</v>
      </c>
      <c r="B28" s="11" t="s">
        <v>48</v>
      </c>
      <c r="C28" s="11">
        <v>6</v>
      </c>
      <c r="E28" s="12"/>
      <c r="F28" s="12"/>
      <c r="G28" s="12"/>
      <c r="H28" s="12"/>
      <c r="I28" s="12"/>
    </row>
    <row r="29" spans="1:9" x14ac:dyDescent="0.3">
      <c r="A29" s="11" t="s">
        <v>110</v>
      </c>
      <c r="B29" s="11" t="s">
        <v>49</v>
      </c>
      <c r="C29" s="11">
        <v>6</v>
      </c>
      <c r="E29" s="12"/>
      <c r="F29" s="12"/>
      <c r="G29" s="12"/>
      <c r="H29" s="12"/>
      <c r="I29" s="12"/>
    </row>
    <row r="30" spans="1:9" x14ac:dyDescent="0.3">
      <c r="A30" s="11" t="s">
        <v>110</v>
      </c>
      <c r="B30" s="11" t="s">
        <v>50</v>
      </c>
      <c r="C30" s="11">
        <v>6</v>
      </c>
      <c r="E30" s="12"/>
      <c r="F30" s="12"/>
      <c r="G30" s="12"/>
      <c r="H30" s="12"/>
      <c r="I30" s="12"/>
    </row>
    <row r="31" spans="1:9" x14ac:dyDescent="0.3">
      <c r="A31" s="11" t="s">
        <v>110</v>
      </c>
      <c r="B31" s="11" t="s">
        <v>51</v>
      </c>
      <c r="C31" s="11">
        <v>6</v>
      </c>
      <c r="E31" s="12"/>
      <c r="F31" s="12"/>
      <c r="G31" s="12"/>
      <c r="H31" s="12"/>
      <c r="I31" s="12"/>
    </row>
    <row r="32" spans="1:9" x14ac:dyDescent="0.3">
      <c r="A32" s="11" t="s">
        <v>110</v>
      </c>
      <c r="B32" s="11" t="s">
        <v>52</v>
      </c>
      <c r="C32" s="11">
        <v>6</v>
      </c>
      <c r="E32" s="12"/>
      <c r="F32" s="12"/>
      <c r="G32" s="12"/>
      <c r="H32" s="12"/>
      <c r="I32" s="12"/>
    </row>
    <row r="33" spans="1:9" x14ac:dyDescent="0.3">
      <c r="A33" s="11" t="s">
        <v>110</v>
      </c>
      <c r="B33" s="11" t="s">
        <v>53</v>
      </c>
      <c r="C33" s="11">
        <v>6</v>
      </c>
      <c r="E33" s="12"/>
      <c r="F33" s="12"/>
      <c r="G33" s="12"/>
      <c r="H33" s="12"/>
      <c r="I33" s="12"/>
    </row>
    <row r="34" spans="1:9" x14ac:dyDescent="0.3">
      <c r="A34" s="11" t="s">
        <v>110</v>
      </c>
      <c r="B34" s="11" t="s">
        <v>54</v>
      </c>
      <c r="C34" s="11">
        <v>6</v>
      </c>
      <c r="E34" s="12"/>
      <c r="F34" s="12"/>
      <c r="G34" s="12"/>
      <c r="H34" s="12"/>
      <c r="I34" s="12"/>
    </row>
    <row r="35" spans="1:9" x14ac:dyDescent="0.3">
      <c r="A35" s="11" t="s">
        <v>110</v>
      </c>
      <c r="B35" s="11" t="s">
        <v>55</v>
      </c>
      <c r="C35" s="11">
        <v>6</v>
      </c>
      <c r="E35" s="12"/>
      <c r="F35" s="12"/>
      <c r="G35" s="12"/>
      <c r="H35" s="12"/>
      <c r="I35" s="12"/>
    </row>
    <row r="36" spans="1:9" x14ac:dyDescent="0.3">
      <c r="A36" s="11" t="s">
        <v>110</v>
      </c>
      <c r="B36" s="11" t="s">
        <v>56</v>
      </c>
      <c r="C36" s="11">
        <v>6</v>
      </c>
      <c r="E36" s="12"/>
      <c r="F36" s="12"/>
      <c r="G36" s="12"/>
      <c r="H36" s="12"/>
      <c r="I36" s="12"/>
    </row>
    <row r="37" spans="1:9" x14ac:dyDescent="0.3">
      <c r="A37" s="11" t="s">
        <v>110</v>
      </c>
      <c r="B37" s="11" t="s">
        <v>57</v>
      </c>
      <c r="C37" s="11">
        <v>6</v>
      </c>
      <c r="E37" s="12"/>
      <c r="F37" s="12"/>
      <c r="G37" s="12"/>
      <c r="H37" s="12"/>
      <c r="I37" s="12"/>
    </row>
    <row r="38" spans="1:9" x14ac:dyDescent="0.3">
      <c r="A38" s="11" t="s">
        <v>111</v>
      </c>
      <c r="B38" s="11" t="s">
        <v>58</v>
      </c>
      <c r="C38" s="11">
        <v>6</v>
      </c>
      <c r="E38" s="12"/>
      <c r="G38" s="12"/>
    </row>
    <row r="39" spans="1:9" x14ac:dyDescent="0.3">
      <c r="A39" s="11" t="s">
        <v>111</v>
      </c>
      <c r="B39" s="11" t="s">
        <v>59</v>
      </c>
      <c r="C39" s="11">
        <v>6</v>
      </c>
      <c r="E39" s="12"/>
      <c r="G39" s="12"/>
    </row>
    <row r="40" spans="1:9" x14ac:dyDescent="0.3">
      <c r="A40" s="11" t="s">
        <v>111</v>
      </c>
      <c r="B40" s="11" t="s">
        <v>60</v>
      </c>
      <c r="C40" s="11">
        <v>6</v>
      </c>
      <c r="E40" s="12"/>
      <c r="G40" s="12"/>
    </row>
    <row r="41" spans="1:9" x14ac:dyDescent="0.3">
      <c r="A41" s="11" t="s">
        <v>111</v>
      </c>
      <c r="B41" s="11" t="s">
        <v>61</v>
      </c>
      <c r="C41" s="11">
        <v>6</v>
      </c>
      <c r="E41" s="12"/>
      <c r="G41" s="12"/>
    </row>
    <row r="42" spans="1:9" x14ac:dyDescent="0.3">
      <c r="A42" s="11" t="s">
        <v>111</v>
      </c>
      <c r="B42" s="11" t="s">
        <v>62</v>
      </c>
      <c r="C42" s="11">
        <v>6</v>
      </c>
      <c r="E42" s="12"/>
      <c r="G42" s="12"/>
    </row>
    <row r="43" spans="1:9" x14ac:dyDescent="0.3">
      <c r="A43" s="11" t="s">
        <v>111</v>
      </c>
      <c r="B43" s="11" t="s">
        <v>63</v>
      </c>
      <c r="C43" s="11">
        <v>6</v>
      </c>
      <c r="E43" s="12"/>
      <c r="G43" s="12"/>
    </row>
    <row r="44" spans="1:9" x14ac:dyDescent="0.3">
      <c r="A44" s="11" t="s">
        <v>111</v>
      </c>
      <c r="B44" s="11" t="s">
        <v>64</v>
      </c>
      <c r="C44" s="11">
        <v>6</v>
      </c>
      <c r="E44" s="12"/>
      <c r="G44" s="12"/>
    </row>
    <row r="45" spans="1:9" x14ac:dyDescent="0.3">
      <c r="A45" s="11" t="s">
        <v>111</v>
      </c>
      <c r="B45" s="11" t="s">
        <v>65</v>
      </c>
      <c r="C45" s="11">
        <v>6</v>
      </c>
      <c r="E45" s="12"/>
      <c r="G45" s="12"/>
    </row>
    <row r="46" spans="1:9" x14ac:dyDescent="0.3">
      <c r="A46" s="11" t="s">
        <v>111</v>
      </c>
      <c r="B46" s="11" t="s">
        <v>66</v>
      </c>
      <c r="C46" s="11">
        <v>6</v>
      </c>
      <c r="E46" s="12"/>
      <c r="G46" s="12"/>
    </row>
    <row r="47" spans="1:9" x14ac:dyDescent="0.3">
      <c r="A47" s="11" t="s">
        <v>111</v>
      </c>
      <c r="B47" s="11" t="s">
        <v>67</v>
      </c>
      <c r="C47" s="11">
        <v>6</v>
      </c>
      <c r="E47" s="12"/>
      <c r="F47" s="12"/>
      <c r="G47" s="12"/>
    </row>
    <row r="48" spans="1:9" x14ac:dyDescent="0.3">
      <c r="A48" s="11" t="s">
        <v>111</v>
      </c>
      <c r="B48" s="11" t="s">
        <v>68</v>
      </c>
      <c r="C48" s="11">
        <v>6</v>
      </c>
      <c r="E48" s="12"/>
      <c r="F48" s="12"/>
      <c r="G48" s="12"/>
    </row>
    <row r="49" spans="1:9" x14ac:dyDescent="0.3">
      <c r="A49" s="11" t="s">
        <v>111</v>
      </c>
      <c r="B49" s="11" t="s">
        <v>69</v>
      </c>
      <c r="C49" s="11">
        <v>6</v>
      </c>
      <c r="E49" s="12"/>
      <c r="F49" s="12"/>
      <c r="H49" s="12"/>
      <c r="I49" s="12"/>
    </row>
    <row r="50" spans="1:9" x14ac:dyDescent="0.3">
      <c r="A50" s="11" t="s">
        <v>111</v>
      </c>
      <c r="B50" s="11" t="s">
        <v>70</v>
      </c>
      <c r="C50" s="11">
        <v>6</v>
      </c>
      <c r="E50" s="12"/>
      <c r="G50" s="12"/>
    </row>
    <row r="51" spans="1:9" x14ac:dyDescent="0.3">
      <c r="A51" s="11" t="s">
        <v>111</v>
      </c>
      <c r="B51" s="11" t="s">
        <v>71</v>
      </c>
      <c r="C51" s="11">
        <v>6</v>
      </c>
      <c r="E51" s="12"/>
      <c r="G51" s="12"/>
    </row>
    <row r="52" spans="1:9" x14ac:dyDescent="0.3">
      <c r="A52" s="11" t="s">
        <v>111</v>
      </c>
      <c r="B52" s="11" t="s">
        <v>72</v>
      </c>
      <c r="C52" s="11">
        <v>6</v>
      </c>
      <c r="E52" s="12"/>
      <c r="G52" s="12"/>
    </row>
    <row r="53" spans="1:9" x14ac:dyDescent="0.3">
      <c r="A53" s="11" t="s">
        <v>111</v>
      </c>
      <c r="B53" s="11" t="s">
        <v>73</v>
      </c>
      <c r="C53" s="11">
        <v>6</v>
      </c>
      <c r="E53" s="12"/>
      <c r="G53" s="12"/>
    </row>
    <row r="54" spans="1:9" x14ac:dyDescent="0.3">
      <c r="A54" s="11" t="s">
        <v>111</v>
      </c>
      <c r="B54" s="11" t="s">
        <v>74</v>
      </c>
      <c r="C54" s="11">
        <v>6</v>
      </c>
      <c r="E54" s="12"/>
      <c r="G54" s="12"/>
    </row>
    <row r="55" spans="1:9" x14ac:dyDescent="0.3">
      <c r="A55" s="11" t="s">
        <v>111</v>
      </c>
      <c r="B55" s="11" t="s">
        <v>75</v>
      </c>
      <c r="C55" s="11">
        <v>6</v>
      </c>
      <c r="E55" s="12"/>
      <c r="G55" s="12"/>
    </row>
    <row r="56" spans="1:9" x14ac:dyDescent="0.3">
      <c r="A56" s="11" t="s">
        <v>111</v>
      </c>
      <c r="B56" s="11" t="s">
        <v>76</v>
      </c>
      <c r="C56" s="11">
        <v>6</v>
      </c>
      <c r="E56" s="12"/>
      <c r="G56" s="12"/>
    </row>
    <row r="57" spans="1:9" x14ac:dyDescent="0.3">
      <c r="A57" s="11" t="s">
        <v>111</v>
      </c>
      <c r="B57" s="11" t="s">
        <v>77</v>
      </c>
      <c r="C57" s="11">
        <v>6</v>
      </c>
      <c r="E57" s="12"/>
      <c r="G57" s="12"/>
    </row>
    <row r="58" spans="1:9" x14ac:dyDescent="0.3">
      <c r="A58" s="11" t="s">
        <v>111</v>
      </c>
      <c r="B58" s="11" t="s">
        <v>78</v>
      </c>
      <c r="C58" s="11">
        <v>6</v>
      </c>
      <c r="E58" s="12"/>
      <c r="G58" s="12"/>
    </row>
    <row r="59" spans="1:9" x14ac:dyDescent="0.3">
      <c r="A59" s="11" t="s">
        <v>111</v>
      </c>
      <c r="B59" s="11" t="s">
        <v>79</v>
      </c>
      <c r="C59" s="11">
        <v>6</v>
      </c>
      <c r="E59" s="12"/>
      <c r="G59" s="12"/>
    </row>
    <row r="60" spans="1:9" x14ac:dyDescent="0.3">
      <c r="A60" s="11" t="s">
        <v>111</v>
      </c>
      <c r="B60" s="11" t="s">
        <v>80</v>
      </c>
      <c r="C60" s="11">
        <v>6</v>
      </c>
      <c r="E60" s="12"/>
      <c r="G60" s="12"/>
    </row>
    <row r="61" spans="1:9" x14ac:dyDescent="0.3">
      <c r="A61" s="11" t="s">
        <v>111</v>
      </c>
      <c r="B61" s="11" t="s">
        <v>81</v>
      </c>
      <c r="C61" s="11">
        <v>6</v>
      </c>
      <c r="E61" s="12"/>
      <c r="F61" s="12"/>
      <c r="G61" s="12"/>
    </row>
    <row r="62" spans="1:9" x14ac:dyDescent="0.3">
      <c r="A62" s="11" t="s">
        <v>111</v>
      </c>
      <c r="B62" s="11" t="s">
        <v>82</v>
      </c>
      <c r="C62" s="11">
        <v>6</v>
      </c>
      <c r="E62" s="12"/>
      <c r="G62" s="12"/>
    </row>
    <row r="63" spans="1:9" x14ac:dyDescent="0.3">
      <c r="A63" s="11" t="s">
        <v>111</v>
      </c>
      <c r="B63" s="11" t="s">
        <v>83</v>
      </c>
      <c r="C63" s="11">
        <v>6</v>
      </c>
      <c r="E63" s="12"/>
      <c r="G63" s="12"/>
    </row>
    <row r="64" spans="1:9" x14ac:dyDescent="0.3">
      <c r="A64" s="11" t="s">
        <v>111</v>
      </c>
      <c r="B64" s="11" t="s">
        <v>84</v>
      </c>
      <c r="C64" s="11">
        <v>6</v>
      </c>
      <c r="E64" s="12"/>
      <c r="G64" s="12"/>
    </row>
    <row r="65" spans="1:9" x14ac:dyDescent="0.3">
      <c r="A65" s="11" t="s">
        <v>111</v>
      </c>
      <c r="B65" s="11" t="s">
        <v>85</v>
      </c>
      <c r="C65" s="11">
        <v>6</v>
      </c>
      <c r="E65" s="12"/>
      <c r="G65" s="12"/>
    </row>
    <row r="66" spans="1:9" x14ac:dyDescent="0.3">
      <c r="A66" s="11" t="s">
        <v>111</v>
      </c>
      <c r="B66" s="11" t="s">
        <v>86</v>
      </c>
      <c r="C66" s="11">
        <v>6</v>
      </c>
      <c r="E66" s="12"/>
      <c r="G66" s="12"/>
    </row>
    <row r="67" spans="1:9" x14ac:dyDescent="0.3">
      <c r="A67" s="11" t="s">
        <v>111</v>
      </c>
      <c r="B67" s="11" t="s">
        <v>87</v>
      </c>
      <c r="C67" s="11">
        <v>6</v>
      </c>
      <c r="E67" s="12"/>
      <c r="G67" s="12"/>
    </row>
    <row r="68" spans="1:9" x14ac:dyDescent="0.3">
      <c r="A68" s="11" t="s">
        <v>111</v>
      </c>
      <c r="B68" s="11" t="s">
        <v>88</v>
      </c>
      <c r="C68" s="11">
        <v>6</v>
      </c>
      <c r="E68" s="12"/>
      <c r="G68" s="12"/>
    </row>
    <row r="69" spans="1:9" x14ac:dyDescent="0.3">
      <c r="A69" s="11" t="s">
        <v>111</v>
      </c>
      <c r="B69" s="11" t="s">
        <v>89</v>
      </c>
      <c r="C69" s="11">
        <v>6</v>
      </c>
      <c r="E69" s="12"/>
      <c r="G69" s="12"/>
    </row>
    <row r="70" spans="1:9" x14ac:dyDescent="0.3">
      <c r="A70" s="11" t="s">
        <v>111</v>
      </c>
      <c r="B70" s="11" t="s">
        <v>90</v>
      </c>
      <c r="C70" s="11">
        <v>6</v>
      </c>
      <c r="E70" s="12"/>
      <c r="G70" s="12"/>
    </row>
    <row r="71" spans="1:9" x14ac:dyDescent="0.3">
      <c r="A71" s="11" t="s">
        <v>111</v>
      </c>
      <c r="B71" s="11" t="s">
        <v>91</v>
      </c>
      <c r="C71" s="11">
        <v>6</v>
      </c>
      <c r="E71" s="12"/>
      <c r="F71" s="12"/>
      <c r="H71" s="12"/>
      <c r="I71" s="12"/>
    </row>
    <row r="72" spans="1:9" x14ac:dyDescent="0.3">
      <c r="A72" s="11" t="s">
        <v>111</v>
      </c>
      <c r="B72" s="11" t="s">
        <v>92</v>
      </c>
      <c r="C72" s="11">
        <v>6</v>
      </c>
      <c r="E72" s="12"/>
      <c r="G72" s="12"/>
    </row>
    <row r="73" spans="1:9" x14ac:dyDescent="0.3">
      <c r="A73" s="11" t="s">
        <v>111</v>
      </c>
      <c r="B73" s="11" t="s">
        <v>93</v>
      </c>
      <c r="C73" s="11">
        <v>6</v>
      </c>
      <c r="E73" s="12"/>
      <c r="G73" s="12"/>
    </row>
    <row r="74" spans="1:9" x14ac:dyDescent="0.3">
      <c r="A74" s="11" t="s">
        <v>111</v>
      </c>
      <c r="B74" s="11" t="s">
        <v>94</v>
      </c>
      <c r="C74" s="11">
        <v>6</v>
      </c>
      <c r="E74" s="12"/>
      <c r="G74" s="12"/>
    </row>
    <row r="75" spans="1:9" x14ac:dyDescent="0.3">
      <c r="A75" s="11" t="s">
        <v>111</v>
      </c>
      <c r="B75" s="11" t="s">
        <v>95</v>
      </c>
      <c r="C75" s="11">
        <v>6</v>
      </c>
      <c r="E75" s="12"/>
      <c r="G75" s="12"/>
    </row>
    <row r="76" spans="1:9" x14ac:dyDescent="0.3">
      <c r="A76" s="11" t="s">
        <v>111</v>
      </c>
      <c r="B76" s="11" t="s">
        <v>96</v>
      </c>
      <c r="C76" s="11">
        <v>6</v>
      </c>
      <c r="E76" s="12"/>
      <c r="G76" s="12"/>
    </row>
    <row r="77" spans="1:9" x14ac:dyDescent="0.3">
      <c r="A77" s="11" t="s">
        <v>111</v>
      </c>
      <c r="B77" s="11" t="s">
        <v>97</v>
      </c>
      <c r="C77" s="11">
        <v>6</v>
      </c>
      <c r="E77" s="12"/>
      <c r="F77" s="12"/>
      <c r="H77" s="12"/>
      <c r="I77" s="12"/>
    </row>
    <row r="78" spans="1:9" x14ac:dyDescent="0.3">
      <c r="A78" s="11" t="s">
        <v>111</v>
      </c>
      <c r="B78" s="11" t="s">
        <v>98</v>
      </c>
      <c r="C78" s="11">
        <v>6</v>
      </c>
      <c r="E78" s="12"/>
      <c r="F78" s="12"/>
      <c r="H78" s="12"/>
      <c r="I78" s="12"/>
    </row>
    <row r="79" spans="1:9" x14ac:dyDescent="0.3">
      <c r="A79" s="11" t="s">
        <v>111</v>
      </c>
      <c r="B79" s="11" t="s">
        <v>99</v>
      </c>
      <c r="C79" s="11">
        <v>6</v>
      </c>
      <c r="E79" s="12"/>
      <c r="F79" s="12"/>
      <c r="H79" s="12"/>
      <c r="I79" s="12"/>
    </row>
    <row r="80" spans="1:9" x14ac:dyDescent="0.3">
      <c r="A80" s="11" t="s">
        <v>111</v>
      </c>
      <c r="B80" s="11" t="s">
        <v>100</v>
      </c>
      <c r="C80" s="11">
        <v>6</v>
      </c>
      <c r="E80" s="12"/>
      <c r="F80" s="12"/>
      <c r="G80" s="12"/>
      <c r="H80" s="12"/>
      <c r="I80" s="12"/>
    </row>
    <row r="81" spans="1:9" x14ac:dyDescent="0.3">
      <c r="A81" s="11" t="s">
        <v>111</v>
      </c>
      <c r="B81" s="11" t="s">
        <v>101</v>
      </c>
      <c r="C81" s="11">
        <v>6</v>
      </c>
      <c r="E81" s="12"/>
      <c r="G81" s="12"/>
    </row>
    <row r="82" spans="1:9" x14ac:dyDescent="0.3">
      <c r="A82" s="11" t="s">
        <v>111</v>
      </c>
      <c r="B82" s="11" t="s">
        <v>102</v>
      </c>
      <c r="C82" s="11">
        <v>6</v>
      </c>
      <c r="E82" s="12"/>
      <c r="G82" s="12"/>
    </row>
    <row r="83" spans="1:9" x14ac:dyDescent="0.3">
      <c r="A83" s="11" t="s">
        <v>111</v>
      </c>
      <c r="B83" s="11" t="s">
        <v>103</v>
      </c>
      <c r="C83" s="11">
        <v>6</v>
      </c>
      <c r="E83" s="12"/>
      <c r="G83" s="12"/>
    </row>
    <row r="84" spans="1:9" x14ac:dyDescent="0.3">
      <c r="A84" s="11" t="s">
        <v>111</v>
      </c>
      <c r="B84" s="11" t="s">
        <v>104</v>
      </c>
      <c r="C84" s="11">
        <v>6</v>
      </c>
      <c r="E84" s="12"/>
      <c r="F84" s="12"/>
      <c r="H84" s="12"/>
      <c r="I84" s="12"/>
    </row>
    <row r="85" spans="1:9" x14ac:dyDescent="0.3">
      <c r="A85" s="11" t="s">
        <v>111</v>
      </c>
      <c r="B85" s="11" t="s">
        <v>105</v>
      </c>
      <c r="C85" s="11">
        <v>6</v>
      </c>
      <c r="E85" s="12"/>
      <c r="G85" s="12"/>
    </row>
    <row r="86" spans="1:9" x14ac:dyDescent="0.3">
      <c r="A86" s="11" t="s">
        <v>111</v>
      </c>
      <c r="B86" s="11" t="s">
        <v>106</v>
      </c>
      <c r="C86" s="11">
        <v>6</v>
      </c>
      <c r="E86" s="12"/>
      <c r="G86" s="12"/>
    </row>
    <row r="87" spans="1:9" x14ac:dyDescent="0.3">
      <c r="A87" s="11" t="s">
        <v>111</v>
      </c>
      <c r="B87" s="11" t="s">
        <v>64</v>
      </c>
      <c r="C87" s="11">
        <v>6</v>
      </c>
      <c r="E87" s="12"/>
      <c r="G87" s="12"/>
    </row>
    <row r="88" spans="1:9" x14ac:dyDescent="0.3">
      <c r="A88" s="11" t="s">
        <v>112</v>
      </c>
      <c r="B88" s="11" t="s">
        <v>107</v>
      </c>
      <c r="C88" s="11">
        <v>1</v>
      </c>
      <c r="E88" s="12"/>
      <c r="F88" s="12"/>
      <c r="G88" s="12"/>
      <c r="H88" s="12"/>
      <c r="I88" s="12"/>
    </row>
    <row r="89" spans="1:9" x14ac:dyDescent="0.3">
      <c r="A89" s="11" t="s">
        <v>112</v>
      </c>
      <c r="B89" s="11" t="s">
        <v>108</v>
      </c>
      <c r="C89" s="11">
        <v>1</v>
      </c>
      <c r="E89" s="12"/>
      <c r="F89" s="12"/>
      <c r="G89" s="12"/>
      <c r="H89" s="12"/>
      <c r="I89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갑지</vt:lpstr>
      <vt:lpstr>세부내용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류호준</dc:creator>
  <cp:lastModifiedBy>hojunenv@naver.com</cp:lastModifiedBy>
  <dcterms:created xsi:type="dcterms:W3CDTF">2015-06-05T18:19:34Z</dcterms:created>
  <dcterms:modified xsi:type="dcterms:W3CDTF">2026-06-06T15:18:29Z</dcterms:modified>
</cp:coreProperties>
</file>